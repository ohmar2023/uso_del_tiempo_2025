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\INEC\GIT\uso_del_tiempo_2025\intermedios\01_insumos_tamanio\02_ejercicio_manual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1'!$A$1:$X$28</definedName>
  </definedNames>
  <calcPr calcId="152511"/>
  <fileRecoveryPr repairLoad="1"/>
</workbook>
</file>

<file path=xl/calcChain.xml><?xml version="1.0" encoding="utf-8"?>
<calcChain xmlns="http://schemas.openxmlformats.org/spreadsheetml/2006/main">
  <c r="V2" i="1" l="1"/>
  <c r="W2" i="1" s="1"/>
  <c r="X2" i="1" s="1"/>
  <c r="P3" i="1"/>
  <c r="S3" i="1" s="1"/>
  <c r="O3" i="1"/>
  <c r="P28" i="1" l="1"/>
  <c r="S28" i="1" s="1"/>
  <c r="T28" i="1" s="1"/>
  <c r="U28" i="1" s="1"/>
  <c r="V28" i="1" s="1"/>
  <c r="W28" i="1" s="1"/>
  <c r="X28" i="1" s="1"/>
  <c r="O28" i="1"/>
  <c r="S27" i="1"/>
  <c r="T27" i="1" s="1"/>
  <c r="U27" i="1" s="1"/>
  <c r="V27" i="1" s="1"/>
  <c r="W27" i="1" s="1"/>
  <c r="X27" i="1" s="1"/>
  <c r="P27" i="1"/>
  <c r="O27" i="1"/>
  <c r="P26" i="1"/>
  <c r="S26" i="1" s="1"/>
  <c r="T26" i="1" s="1"/>
  <c r="U26" i="1" s="1"/>
  <c r="V26" i="1" s="1"/>
  <c r="O26" i="1"/>
  <c r="P25" i="1"/>
  <c r="S25" i="1" s="1"/>
  <c r="T25" i="1" s="1"/>
  <c r="U25" i="1" s="1"/>
  <c r="V25" i="1" s="1"/>
  <c r="O25" i="1"/>
  <c r="P24" i="1"/>
  <c r="S24" i="1" s="1"/>
  <c r="T24" i="1" s="1"/>
  <c r="U24" i="1" s="1"/>
  <c r="V24" i="1" s="1"/>
  <c r="W24" i="1" s="1"/>
  <c r="X24" i="1" s="1"/>
  <c r="O24" i="1"/>
  <c r="P23" i="1"/>
  <c r="S23" i="1" s="1"/>
  <c r="T23" i="1" s="1"/>
  <c r="U23" i="1" s="1"/>
  <c r="V23" i="1" s="1"/>
  <c r="W23" i="1" s="1"/>
  <c r="X23" i="1" s="1"/>
  <c r="O23" i="1"/>
  <c r="P22" i="1"/>
  <c r="S22" i="1" s="1"/>
  <c r="T22" i="1" s="1"/>
  <c r="U22" i="1" s="1"/>
  <c r="V22" i="1" s="1"/>
  <c r="O22" i="1"/>
  <c r="P21" i="1"/>
  <c r="S21" i="1" s="1"/>
  <c r="T21" i="1" s="1"/>
  <c r="U21" i="1" s="1"/>
  <c r="V21" i="1" s="1"/>
  <c r="O21" i="1"/>
  <c r="P20" i="1"/>
  <c r="S20" i="1" s="1"/>
  <c r="T20" i="1" s="1"/>
  <c r="U20" i="1" s="1"/>
  <c r="V20" i="1" s="1"/>
  <c r="W20" i="1" s="1"/>
  <c r="X20" i="1" s="1"/>
  <c r="O20" i="1"/>
  <c r="P19" i="1"/>
  <c r="S19" i="1" s="1"/>
  <c r="T19" i="1" s="1"/>
  <c r="U19" i="1" s="1"/>
  <c r="V19" i="1" s="1"/>
  <c r="W19" i="1" s="1"/>
  <c r="X19" i="1" s="1"/>
  <c r="O19" i="1"/>
  <c r="P18" i="1"/>
  <c r="S18" i="1" s="1"/>
  <c r="T18" i="1" s="1"/>
  <c r="U18" i="1" s="1"/>
  <c r="V18" i="1" s="1"/>
  <c r="O18" i="1"/>
  <c r="P17" i="1"/>
  <c r="S17" i="1" s="1"/>
  <c r="T17" i="1" s="1"/>
  <c r="U17" i="1" s="1"/>
  <c r="V17" i="1" s="1"/>
  <c r="O17" i="1"/>
  <c r="P16" i="1"/>
  <c r="S16" i="1" s="1"/>
  <c r="T16" i="1" s="1"/>
  <c r="U16" i="1" s="1"/>
  <c r="V16" i="1" s="1"/>
  <c r="W16" i="1" s="1"/>
  <c r="X16" i="1" s="1"/>
  <c r="O16" i="1"/>
  <c r="P15" i="1"/>
  <c r="S15" i="1" s="1"/>
  <c r="T15" i="1" s="1"/>
  <c r="U15" i="1" s="1"/>
  <c r="V15" i="1" s="1"/>
  <c r="O15" i="1"/>
  <c r="P14" i="1"/>
  <c r="S14" i="1" s="1"/>
  <c r="T14" i="1" s="1"/>
  <c r="U14" i="1" s="1"/>
  <c r="V14" i="1" s="1"/>
  <c r="O14" i="1"/>
  <c r="S13" i="1"/>
  <c r="T13" i="1" s="1"/>
  <c r="U13" i="1" s="1"/>
  <c r="V13" i="1" s="1"/>
  <c r="P13" i="1"/>
  <c r="O13" i="1"/>
  <c r="P12" i="1"/>
  <c r="S12" i="1" s="1"/>
  <c r="T12" i="1" s="1"/>
  <c r="U12" i="1" s="1"/>
  <c r="V12" i="1" s="1"/>
  <c r="W12" i="1" s="1"/>
  <c r="X12" i="1" s="1"/>
  <c r="O12" i="1"/>
  <c r="P11" i="1"/>
  <c r="S11" i="1" s="1"/>
  <c r="T11" i="1" s="1"/>
  <c r="U11" i="1" s="1"/>
  <c r="V11" i="1" s="1"/>
  <c r="W11" i="1" s="1"/>
  <c r="X11" i="1" s="1"/>
  <c r="O11" i="1"/>
  <c r="P10" i="1"/>
  <c r="S10" i="1" s="1"/>
  <c r="T10" i="1" s="1"/>
  <c r="U10" i="1" s="1"/>
  <c r="V10" i="1" s="1"/>
  <c r="O10" i="1"/>
  <c r="P9" i="1"/>
  <c r="S9" i="1" s="1"/>
  <c r="T9" i="1" s="1"/>
  <c r="U9" i="1" s="1"/>
  <c r="V9" i="1" s="1"/>
  <c r="O9" i="1"/>
  <c r="P8" i="1"/>
  <c r="S8" i="1" s="1"/>
  <c r="T8" i="1" s="1"/>
  <c r="U8" i="1" s="1"/>
  <c r="V8" i="1" s="1"/>
  <c r="W8" i="1" s="1"/>
  <c r="X8" i="1" s="1"/>
  <c r="O8" i="1"/>
  <c r="P7" i="1"/>
  <c r="S7" i="1" s="1"/>
  <c r="T7" i="1" s="1"/>
  <c r="U7" i="1" s="1"/>
  <c r="V7" i="1" s="1"/>
  <c r="W7" i="1" s="1"/>
  <c r="X7" i="1" s="1"/>
  <c r="O7" i="1"/>
  <c r="P6" i="1"/>
  <c r="S6" i="1" s="1"/>
  <c r="T6" i="1" s="1"/>
  <c r="U6" i="1" s="1"/>
  <c r="V6" i="1" s="1"/>
  <c r="O6" i="1"/>
  <c r="P5" i="1"/>
  <c r="S5" i="1" s="1"/>
  <c r="T5" i="1" s="1"/>
  <c r="U5" i="1" s="1"/>
  <c r="V5" i="1" s="1"/>
  <c r="O5" i="1"/>
  <c r="P4" i="1"/>
  <c r="S4" i="1" s="1"/>
  <c r="T4" i="1" s="1"/>
  <c r="U4" i="1" s="1"/>
  <c r="V4" i="1" s="1"/>
  <c r="W4" i="1" s="1"/>
  <c r="X4" i="1" s="1"/>
  <c r="O4" i="1"/>
  <c r="T3" i="1"/>
  <c r="U3" i="1" s="1"/>
  <c r="V3" i="1" s="1"/>
  <c r="P2" i="1"/>
  <c r="W9" i="1" l="1"/>
  <c r="X9" i="1" s="1"/>
  <c r="W15" i="1"/>
  <c r="X15" i="1" s="1"/>
  <c r="X10" i="1"/>
  <c r="W10" i="1"/>
  <c r="W13" i="1"/>
  <c r="X13" i="1" s="1"/>
  <c r="W22" i="1"/>
  <c r="X22" i="1" s="1"/>
  <c r="W17" i="1"/>
  <c r="X17" i="1" s="1"/>
  <c r="W26" i="1"/>
  <c r="X26" i="1" s="1"/>
  <c r="W6" i="1"/>
  <c r="X6" i="1" s="1"/>
  <c r="W14" i="1"/>
  <c r="X14" i="1" s="1"/>
  <c r="W21" i="1"/>
  <c r="X21" i="1" s="1"/>
  <c r="X5" i="1"/>
  <c r="W5" i="1"/>
  <c r="W3" i="1"/>
  <c r="X3" i="1" s="1"/>
  <c r="W18" i="1"/>
  <c r="X18" i="1" s="1"/>
  <c r="W25" i="1"/>
  <c r="X25" i="1" s="1"/>
</calcChain>
</file>

<file path=xl/sharedStrings.xml><?xml version="1.0" encoding="utf-8"?>
<sst xmlns="http://schemas.openxmlformats.org/spreadsheetml/2006/main" count="77" uniqueCount="77">
  <si>
    <t>dominio</t>
  </si>
  <si>
    <t>estimacion_media_mu</t>
  </si>
  <si>
    <t>error_estandar</t>
  </si>
  <si>
    <t>estimaciion_sd_sigma</t>
  </si>
  <si>
    <t>deff</t>
  </si>
  <si>
    <t>N_pobl</t>
  </si>
  <si>
    <t>upm_pobl_M</t>
  </si>
  <si>
    <t>b</t>
  </si>
  <si>
    <t>mer_delta</t>
  </si>
  <si>
    <t>rho</t>
  </si>
  <si>
    <t>conf</t>
  </si>
  <si>
    <t>tnr</t>
  </si>
  <si>
    <t>Nacional</t>
  </si>
  <si>
    <t>74314</t>
  </si>
  <si>
    <t>Azuay</t>
  </si>
  <si>
    <t>2709</t>
  </si>
  <si>
    <t>Bolivar</t>
  </si>
  <si>
    <t>651</t>
  </si>
  <si>
    <t>Cañar</t>
  </si>
  <si>
    <t>820</t>
  </si>
  <si>
    <t>Carchi</t>
  </si>
  <si>
    <t>606</t>
  </si>
  <si>
    <t>Cotopaxi</t>
  </si>
  <si>
    <t>1478</t>
  </si>
  <si>
    <t>Chimborazo</t>
  </si>
  <si>
    <t>1639</t>
  </si>
  <si>
    <t>El Oro</t>
  </si>
  <si>
    <t>2461</t>
  </si>
  <si>
    <t>Esmeraldas</t>
  </si>
  <si>
    <t>1841</t>
  </si>
  <si>
    <t>Guayas</t>
  </si>
  <si>
    <t>14414</t>
  </si>
  <si>
    <t>Imbabura</t>
  </si>
  <si>
    <t>1590</t>
  </si>
  <si>
    <t>Loja</t>
  </si>
  <si>
    <t>1582</t>
  </si>
  <si>
    <t>Los Rios</t>
  </si>
  <si>
    <t>2989</t>
  </si>
  <si>
    <t>Manabi</t>
  </si>
  <si>
    <t>5176</t>
  </si>
  <si>
    <t>Morona Santiago</t>
  </si>
  <si>
    <t>586</t>
  </si>
  <si>
    <t>Napo</t>
  </si>
  <si>
    <t>363</t>
  </si>
  <si>
    <t>Pastaza</t>
  </si>
  <si>
    <t>346</t>
  </si>
  <si>
    <t>Pichincha</t>
  </si>
  <si>
    <t>10494</t>
  </si>
  <si>
    <t>Tungurahua</t>
  </si>
  <si>
    <t>2002</t>
  </si>
  <si>
    <t>Zamora Chinchipe</t>
  </si>
  <si>
    <t>342</t>
  </si>
  <si>
    <t>Sucumbios</t>
  </si>
  <si>
    <t>672</t>
  </si>
  <si>
    <t>Orellana</t>
  </si>
  <si>
    <t>560</t>
  </si>
  <si>
    <t>Santo Domingo</t>
  </si>
  <si>
    <t>1668</t>
  </si>
  <si>
    <t>Santa Elena</t>
  </si>
  <si>
    <t>1138</t>
  </si>
  <si>
    <t>Quito</t>
  </si>
  <si>
    <t>9131</t>
  </si>
  <si>
    <t>Guayaquil</t>
  </si>
  <si>
    <t>8944</t>
  </si>
  <si>
    <t>Zonas no delimitadas</t>
  </si>
  <si>
    <t>delta(mer)</t>
  </si>
  <si>
    <t>m</t>
  </si>
  <si>
    <t>deff_2</t>
  </si>
  <si>
    <t>s^2</t>
  </si>
  <si>
    <t>Z</t>
  </si>
  <si>
    <t>qnorm(z)</t>
  </si>
  <si>
    <t>n0</t>
  </si>
  <si>
    <t>n</t>
  </si>
  <si>
    <t>n_upm</t>
  </si>
  <si>
    <t>n_personas</t>
  </si>
  <si>
    <t>n_viv</t>
  </si>
  <si>
    <t>n_viv_tnr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</si>
</sst>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topLeftCell="J1" workbookViewId="0">
      <pane ySplit="1" topLeftCell="A2" activePane="bottomLeft" state="frozen"/>
      <selection pane="bottomLeft" activeCell="T15" sqref="T15"/>
    </sheetView>
  </sheetViews>
  <sheetFormatPr baseColWidth="10" defaultRowHeight="15" x14ac:dyDescent="0.25"/>
  <cols>
    <col min="13" max="13" width="12.85546875" bestFit="1" customWidth="1"/>
    <col min="14" max="14" width="5" bestFit="1" customWidth="1"/>
    <col min="15" max="16" width="12" bestFit="1" customWidth="1"/>
    <col min="17" max="17" width="6" bestFit="1" customWidth="1"/>
    <col min="19" max="20" width="12" bestFit="1" customWidth="1"/>
    <col min="21" max="21" width="13.42578125" bestFit="1" customWidth="1"/>
    <col min="22" max="22" width="10.28515625" bestFit="1" customWidth="1"/>
    <col min="23" max="23" width="13.8554687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74</v>
      </c>
      <c r="V1" s="2" t="s">
        <v>75</v>
      </c>
      <c r="W1" s="2" t="s">
        <v>76</v>
      </c>
      <c r="X1" s="2" t="s">
        <v>73</v>
      </c>
    </row>
    <row r="2" spans="1:24" hidden="1" x14ac:dyDescent="0.25">
      <c r="A2" t="s">
        <v>12</v>
      </c>
      <c r="B2">
        <v>17.893687055037098</v>
      </c>
      <c r="C2">
        <v>0.23848437240592099</v>
      </c>
      <c r="D2">
        <v>19.186520969526999</v>
      </c>
      <c r="E2">
        <v>4.7756432183639701</v>
      </c>
      <c r="G2" t="s">
        <v>13</v>
      </c>
      <c r="I2">
        <v>2.6122585494978898E-2</v>
      </c>
      <c r="K2">
        <v>0.95</v>
      </c>
      <c r="L2">
        <v>0.2</v>
      </c>
      <c r="P2">
        <f>D2^2 * E2</f>
        <v>1758.0221357229193</v>
      </c>
      <c r="V2" t="e">
        <f>ROUNDUP(U2/H2,0)</f>
        <v>#DIV/0!</v>
      </c>
      <c r="W2" t="e">
        <f>ROUNDUP(V2*(1/1-L2),0)</f>
        <v>#DIV/0!</v>
      </c>
      <c r="X2" t="e">
        <f>ROUNDUP(W2/12,0)</f>
        <v>#DIV/0!</v>
      </c>
    </row>
    <row r="3" spans="1:24" x14ac:dyDescent="0.25">
      <c r="A3" t="s">
        <v>14</v>
      </c>
      <c r="B3">
        <v>22.934380910514601</v>
      </c>
      <c r="C3">
        <v>0.93409403204278096</v>
      </c>
      <c r="D3">
        <v>24.4668026929611</v>
      </c>
      <c r="E3">
        <v>2.5586103198440902</v>
      </c>
      <c r="F3">
        <v>650535</v>
      </c>
      <c r="G3" t="s">
        <v>15</v>
      </c>
      <c r="H3">
        <v>2.8092592592592598</v>
      </c>
      <c r="I3">
        <v>7.9828808545012203E-2</v>
      </c>
      <c r="J3">
        <v>4.7647733962624901E-2</v>
      </c>
      <c r="K3">
        <v>0.95</v>
      </c>
      <c r="L3">
        <v>0.2</v>
      </c>
      <c r="M3" s="3">
        <v>0.06</v>
      </c>
      <c r="N3" s="3">
        <v>12</v>
      </c>
      <c r="O3" s="3">
        <f>1+(N3*H3-1)*J3</f>
        <v>2.5586103198440862</v>
      </c>
      <c r="P3" s="3">
        <f>D3^2 * E3</f>
        <v>1531.6466545849034</v>
      </c>
      <c r="Q3" s="3">
        <v>0.97499999999999998</v>
      </c>
      <c r="R3" s="3">
        <v>1.959964</v>
      </c>
      <c r="S3" s="3">
        <f>((R3^2)/(M3*B3)^2)*P3</f>
        <v>3107.2645633856982</v>
      </c>
      <c r="T3" s="3">
        <f>S3/(1+(S3/F3))</f>
        <v>3092.4933443407949</v>
      </c>
      <c r="U3" s="3">
        <f>ROUNDUP(T3,0)</f>
        <v>3093</v>
      </c>
      <c r="V3" s="3">
        <f t="shared" ref="V3:V28" si="0">ROUNDUP(U3/H3,0)</f>
        <v>1102</v>
      </c>
      <c r="W3" s="3">
        <f>ROUNDUP(V3*(1/(1-L3)),0)</f>
        <v>1378</v>
      </c>
      <c r="X3" s="3">
        <f t="shared" ref="X3:X28" si="1">ROUNDUP(W3/12,0)</f>
        <v>115</v>
      </c>
    </row>
    <row r="4" spans="1:24" x14ac:dyDescent="0.25">
      <c r="A4" t="s">
        <v>16</v>
      </c>
      <c r="B4">
        <v>20.299919607558099</v>
      </c>
      <c r="C4">
        <v>0.95301076175861399</v>
      </c>
      <c r="D4">
        <v>20.689075726575201</v>
      </c>
      <c r="E4">
        <v>2.0397494890933499</v>
      </c>
      <c r="F4">
        <v>160344</v>
      </c>
      <c r="G4" t="s">
        <v>17</v>
      </c>
      <c r="H4">
        <v>2.7470085470085501</v>
      </c>
      <c r="I4">
        <v>9.2015196570109495E-2</v>
      </c>
      <c r="J4">
        <v>3.2528662020408099E-2</v>
      </c>
      <c r="K4">
        <v>0.95</v>
      </c>
      <c r="L4">
        <v>0.2</v>
      </c>
      <c r="M4" s="3">
        <v>0.06</v>
      </c>
      <c r="N4" s="3">
        <v>12</v>
      </c>
      <c r="O4" s="3">
        <f t="shared" ref="O4:O28" si="2">1+(N4*H4-1)*J4</f>
        <v>2.0397494890933534</v>
      </c>
      <c r="P4" s="3">
        <f t="shared" ref="P4:P28" si="3">D4^2 * E4</f>
        <v>873.08999486573362</v>
      </c>
      <c r="Q4" s="3">
        <v>0.97499999999999998</v>
      </c>
      <c r="R4" s="3">
        <v>1.959964</v>
      </c>
      <c r="S4" s="3">
        <f t="shared" ref="S4:S28" si="4">((R4^2)/(M4*B4)^2)*P4</f>
        <v>2260.8099901131359</v>
      </c>
      <c r="T4" s="3">
        <f t="shared" ref="T4:T28" si="5">S4/(1+(S4/F4))</f>
        <v>2229.3763454890554</v>
      </c>
      <c r="U4" s="3">
        <f t="shared" ref="U4:U28" si="6">ROUNDUP(T4,0)</f>
        <v>2230</v>
      </c>
      <c r="V4" s="3">
        <f>ROUNDUP(U4/H4,0)</f>
        <v>812</v>
      </c>
      <c r="W4" s="3">
        <f t="shared" ref="W4:W28" si="7">ROUNDUP(V4*(1/(1-L4)),0)</f>
        <v>1015</v>
      </c>
      <c r="X4" s="3">
        <f t="shared" si="1"/>
        <v>85</v>
      </c>
    </row>
    <row r="5" spans="1:24" x14ac:dyDescent="0.25">
      <c r="A5" t="s">
        <v>18</v>
      </c>
      <c r="B5">
        <v>20.4174310813891</v>
      </c>
      <c r="C5">
        <v>1.13057968876626</v>
      </c>
      <c r="D5">
        <v>21.327062837282</v>
      </c>
      <c r="E5">
        <v>3.1570907575641498</v>
      </c>
      <c r="F5">
        <v>179897</v>
      </c>
      <c r="G5" t="s">
        <v>19</v>
      </c>
      <c r="H5">
        <v>2.7519788918205799</v>
      </c>
      <c r="I5">
        <v>0.10853158662069599</v>
      </c>
      <c r="J5">
        <v>6.7359100034342298E-2</v>
      </c>
      <c r="K5">
        <v>0.95</v>
      </c>
      <c r="L5">
        <v>0.2</v>
      </c>
      <c r="M5" s="3">
        <v>0.06</v>
      </c>
      <c r="N5" s="3">
        <v>12</v>
      </c>
      <c r="O5" s="3">
        <f t="shared" si="2"/>
        <v>3.1570907575641485</v>
      </c>
      <c r="P5" s="3">
        <f t="shared" si="3"/>
        <v>1435.9825549488346</v>
      </c>
      <c r="Q5" s="3">
        <v>0.97499999999999998</v>
      </c>
      <c r="R5" s="3">
        <v>1.959964</v>
      </c>
      <c r="S5" s="3">
        <f t="shared" si="4"/>
        <v>3675.7050536893466</v>
      </c>
      <c r="T5" s="3">
        <f t="shared" si="5"/>
        <v>3602.1058351248771</v>
      </c>
      <c r="U5" s="3">
        <f t="shared" si="6"/>
        <v>3603</v>
      </c>
      <c r="V5" s="3">
        <f t="shared" si="0"/>
        <v>1310</v>
      </c>
      <c r="W5" s="3">
        <f t="shared" si="7"/>
        <v>1638</v>
      </c>
      <c r="X5" s="3">
        <f t="shared" si="1"/>
        <v>137</v>
      </c>
    </row>
    <row r="6" spans="1:24" x14ac:dyDescent="0.25">
      <c r="A6" t="s">
        <v>20</v>
      </c>
      <c r="B6">
        <v>16.101410738114101</v>
      </c>
      <c r="C6">
        <v>0.922003847957797</v>
      </c>
      <c r="D6">
        <v>18.2169320221848</v>
      </c>
      <c r="E6">
        <v>2.0304421872607898</v>
      </c>
      <c r="F6">
        <v>141185</v>
      </c>
      <c r="G6" t="s">
        <v>21</v>
      </c>
      <c r="H6">
        <v>2.5425709515859798</v>
      </c>
      <c r="I6">
        <v>0.112234112363805</v>
      </c>
      <c r="J6">
        <v>3.4917399455179902E-2</v>
      </c>
      <c r="K6">
        <v>0.95</v>
      </c>
      <c r="L6">
        <v>0.2</v>
      </c>
      <c r="M6" s="3">
        <v>0.06</v>
      </c>
      <c r="N6" s="3">
        <v>12</v>
      </c>
      <c r="O6" s="3">
        <f t="shared" si="2"/>
        <v>2.0304421872607943</v>
      </c>
      <c r="P6" s="3">
        <f t="shared" si="3"/>
        <v>673.81566573719931</v>
      </c>
      <c r="Q6" s="3">
        <v>0.97499999999999998</v>
      </c>
      <c r="R6" s="3">
        <v>1.959964</v>
      </c>
      <c r="S6" s="3">
        <f t="shared" si="4"/>
        <v>2773.3643867623678</v>
      </c>
      <c r="T6" s="3">
        <f t="shared" si="5"/>
        <v>2719.9353966892554</v>
      </c>
      <c r="U6" s="3">
        <f t="shared" si="6"/>
        <v>2720</v>
      </c>
      <c r="V6" s="3">
        <f t="shared" si="0"/>
        <v>1070</v>
      </c>
      <c r="W6" s="3">
        <f t="shared" si="7"/>
        <v>1338</v>
      </c>
      <c r="X6" s="3">
        <f t="shared" si="1"/>
        <v>112</v>
      </c>
    </row>
    <row r="7" spans="1:24" x14ac:dyDescent="0.25">
      <c r="A7" t="s">
        <v>22</v>
      </c>
      <c r="B7">
        <v>23.1880229444875</v>
      </c>
      <c r="C7">
        <v>0.62467804819723505</v>
      </c>
      <c r="D7">
        <v>22.275231928580201</v>
      </c>
      <c r="E7">
        <v>1.4146866904058999</v>
      </c>
      <c r="F7">
        <v>372007</v>
      </c>
      <c r="G7" t="s">
        <v>23</v>
      </c>
      <c r="H7">
        <v>2.6560846560846598</v>
      </c>
      <c r="I7">
        <v>5.2801783808724898E-2</v>
      </c>
      <c r="J7">
        <v>1.3432011051707901E-2</v>
      </c>
      <c r="K7">
        <v>0.95</v>
      </c>
      <c r="L7">
        <v>0.2</v>
      </c>
      <c r="M7" s="3">
        <v>0.06</v>
      </c>
      <c r="N7" s="3">
        <v>12</v>
      </c>
      <c r="O7" s="3">
        <f t="shared" si="2"/>
        <v>1.4146866904059032</v>
      </c>
      <c r="P7" s="3">
        <f t="shared" si="3"/>
        <v>701.94767000200113</v>
      </c>
      <c r="Q7" s="3">
        <v>0.97499999999999998</v>
      </c>
      <c r="R7" s="3">
        <v>1.959964</v>
      </c>
      <c r="S7" s="3">
        <f t="shared" si="4"/>
        <v>1393.063720528291</v>
      </c>
      <c r="T7" s="3">
        <f t="shared" si="5"/>
        <v>1387.866542707495</v>
      </c>
      <c r="U7" s="3">
        <f t="shared" si="6"/>
        <v>1388</v>
      </c>
      <c r="V7" s="3">
        <f t="shared" si="0"/>
        <v>523</v>
      </c>
      <c r="W7" s="3">
        <f t="shared" si="7"/>
        <v>654</v>
      </c>
      <c r="X7" s="3">
        <f t="shared" si="1"/>
        <v>55</v>
      </c>
    </row>
    <row r="8" spans="1:24" x14ac:dyDescent="0.25">
      <c r="A8" t="s">
        <v>24</v>
      </c>
      <c r="B8">
        <v>24.0866479308965</v>
      </c>
      <c r="C8">
        <v>0.69419599801600596</v>
      </c>
      <c r="D8">
        <v>22.5233542040021</v>
      </c>
      <c r="E8">
        <v>1.64630418985045</v>
      </c>
      <c r="F8">
        <v>383538</v>
      </c>
      <c r="G8" t="s">
        <v>25</v>
      </c>
      <c r="H8">
        <v>2.7301886792452801</v>
      </c>
      <c r="I8">
        <v>5.6488730188398999E-2</v>
      </c>
      <c r="J8">
        <v>2.0348177534794998E-2</v>
      </c>
      <c r="K8">
        <v>0.95</v>
      </c>
      <c r="L8">
        <v>0.2</v>
      </c>
      <c r="M8" s="3">
        <v>0.06</v>
      </c>
      <c r="N8" s="3">
        <v>12</v>
      </c>
      <c r="O8" s="3">
        <f t="shared" si="2"/>
        <v>1.6463041898504502</v>
      </c>
      <c r="P8" s="3">
        <f t="shared" si="3"/>
        <v>835.17255961258695</v>
      </c>
      <c r="Q8" s="3">
        <v>0.97499999999999998</v>
      </c>
      <c r="R8" s="3">
        <v>1.959964</v>
      </c>
      <c r="S8" s="3">
        <f t="shared" si="4"/>
        <v>1536.0918164973775</v>
      </c>
      <c r="T8" s="3">
        <f t="shared" si="5"/>
        <v>1529.9642215257725</v>
      </c>
      <c r="U8" s="3">
        <f t="shared" si="6"/>
        <v>1530</v>
      </c>
      <c r="V8" s="3">
        <f t="shared" si="0"/>
        <v>561</v>
      </c>
      <c r="W8" s="3">
        <f t="shared" si="7"/>
        <v>702</v>
      </c>
      <c r="X8" s="3">
        <f t="shared" si="1"/>
        <v>59</v>
      </c>
    </row>
    <row r="9" spans="1:24" x14ac:dyDescent="0.25">
      <c r="A9" t="s">
        <v>26</v>
      </c>
      <c r="B9">
        <v>15.712739584731301</v>
      </c>
      <c r="C9">
        <v>0.53518714909206699</v>
      </c>
      <c r="D9">
        <v>17.107880756288001</v>
      </c>
      <c r="E9">
        <v>1.28245060505745</v>
      </c>
      <c r="F9">
        <v>571662</v>
      </c>
      <c r="G9" t="s">
        <v>27</v>
      </c>
      <c r="H9">
        <v>2.64639175257732</v>
      </c>
      <c r="I9">
        <v>6.6759001927313405E-2</v>
      </c>
      <c r="J9">
        <v>9.1833842899285197E-3</v>
      </c>
      <c r="K9">
        <v>0.95</v>
      </c>
      <c r="L9">
        <v>0.2</v>
      </c>
      <c r="M9" s="3">
        <v>0.06</v>
      </c>
      <c r="N9" s="3">
        <v>12</v>
      </c>
      <c r="O9" s="3">
        <f t="shared" si="2"/>
        <v>1.2824506050574511</v>
      </c>
      <c r="P9" s="3">
        <f t="shared" si="3"/>
        <v>375.34710955204531</v>
      </c>
      <c r="Q9" s="3">
        <v>0.97499999999999998</v>
      </c>
      <c r="R9" s="3">
        <v>1.959964</v>
      </c>
      <c r="S9" s="3">
        <f t="shared" si="4"/>
        <v>1622.2692580387115</v>
      </c>
      <c r="T9" s="3">
        <f t="shared" si="5"/>
        <v>1617.6785903949201</v>
      </c>
      <c r="U9" s="3">
        <f t="shared" si="6"/>
        <v>1618</v>
      </c>
      <c r="V9" s="3">
        <f t="shared" si="0"/>
        <v>612</v>
      </c>
      <c r="W9" s="3">
        <f t="shared" si="7"/>
        <v>765</v>
      </c>
      <c r="X9" s="3">
        <f t="shared" si="1"/>
        <v>64</v>
      </c>
    </row>
    <row r="10" spans="1:24" x14ac:dyDescent="0.25">
      <c r="A10" t="s">
        <v>28</v>
      </c>
      <c r="B10">
        <v>13.177692539659301</v>
      </c>
      <c r="C10">
        <v>0.56381162197554302</v>
      </c>
      <c r="D10">
        <v>15.376969107590099</v>
      </c>
      <c r="E10">
        <v>1.2415939793747199</v>
      </c>
      <c r="F10">
        <v>413507</v>
      </c>
      <c r="G10" t="s">
        <v>29</v>
      </c>
      <c r="H10">
        <v>2.55186721991701</v>
      </c>
      <c r="I10">
        <v>8.3859201885782705E-2</v>
      </c>
      <c r="J10">
        <v>8.1557849879966109E-3</v>
      </c>
      <c r="K10">
        <v>0.95</v>
      </c>
      <c r="L10">
        <v>0.2</v>
      </c>
      <c r="M10" s="3">
        <v>0.06</v>
      </c>
      <c r="N10" s="3">
        <v>12</v>
      </c>
      <c r="O10" s="3">
        <f t="shared" si="2"/>
        <v>1.2415939793747208</v>
      </c>
      <c r="P10" s="3">
        <f t="shared" si="3"/>
        <v>293.57636018271938</v>
      </c>
      <c r="Q10" s="3">
        <v>0.97499999999999998</v>
      </c>
      <c r="R10" s="3">
        <v>1.959964</v>
      </c>
      <c r="S10" s="3">
        <f t="shared" si="4"/>
        <v>1803.9979055451249</v>
      </c>
      <c r="T10" s="3">
        <f t="shared" si="5"/>
        <v>1796.1618297859384</v>
      </c>
      <c r="U10" s="3">
        <f t="shared" si="6"/>
        <v>1797</v>
      </c>
      <c r="V10" s="3">
        <f t="shared" si="0"/>
        <v>705</v>
      </c>
      <c r="W10" s="3">
        <f t="shared" si="7"/>
        <v>882</v>
      </c>
      <c r="X10" s="3">
        <f t="shared" si="1"/>
        <v>74</v>
      </c>
    </row>
    <row r="11" spans="1:24" x14ac:dyDescent="0.25">
      <c r="A11" t="s">
        <v>30</v>
      </c>
      <c r="B11">
        <v>16.2143089444337</v>
      </c>
      <c r="C11">
        <v>0.64285922670861195</v>
      </c>
      <c r="D11">
        <v>18.3234347720805</v>
      </c>
      <c r="E11">
        <v>2.2556669212179199</v>
      </c>
      <c r="F11">
        <v>3499795</v>
      </c>
      <c r="G11" t="s">
        <v>31</v>
      </c>
      <c r="H11">
        <v>2.6639654240950801</v>
      </c>
      <c r="I11">
        <v>7.7709391665528496E-2</v>
      </c>
      <c r="J11">
        <v>4.0547783031949503E-2</v>
      </c>
      <c r="K11">
        <v>0.95</v>
      </c>
      <c r="L11">
        <v>0.2</v>
      </c>
      <c r="M11" s="3">
        <v>0.06</v>
      </c>
      <c r="N11" s="3">
        <v>12</v>
      </c>
      <c r="O11" s="3">
        <f t="shared" si="2"/>
        <v>2.2556669212179221</v>
      </c>
      <c r="P11" s="3">
        <f t="shared" si="3"/>
        <v>757.3362481039884</v>
      </c>
      <c r="Q11" s="3">
        <v>0.97499999999999998</v>
      </c>
      <c r="R11" s="3">
        <v>1.959964</v>
      </c>
      <c r="S11" s="3">
        <f t="shared" si="4"/>
        <v>3073.8703403281747</v>
      </c>
      <c r="T11" s="3">
        <f t="shared" si="5"/>
        <v>3071.1729288009683</v>
      </c>
      <c r="U11" s="3">
        <f t="shared" si="6"/>
        <v>3072</v>
      </c>
      <c r="V11" s="3">
        <f t="shared" si="0"/>
        <v>1154</v>
      </c>
      <c r="W11" s="3">
        <f t="shared" si="7"/>
        <v>1443</v>
      </c>
      <c r="X11" s="3">
        <f t="shared" si="1"/>
        <v>121</v>
      </c>
    </row>
    <row r="12" spans="1:24" x14ac:dyDescent="0.25">
      <c r="A12" t="s">
        <v>32</v>
      </c>
      <c r="B12">
        <v>16.341293736602701</v>
      </c>
      <c r="C12">
        <v>0.76203435663862795</v>
      </c>
      <c r="D12">
        <v>16.4699204823267</v>
      </c>
      <c r="E12">
        <v>1.84850800772784</v>
      </c>
      <c r="F12">
        <v>383971</v>
      </c>
      <c r="G12" t="s">
        <v>33</v>
      </c>
      <c r="H12">
        <v>2.8306878306878298</v>
      </c>
      <c r="I12">
        <v>9.1399577235812393E-2</v>
      </c>
      <c r="J12">
        <v>2.57371230076331E-2</v>
      </c>
      <c r="K12">
        <v>0.95</v>
      </c>
      <c r="L12">
        <v>0.2</v>
      </c>
      <c r="M12" s="3">
        <v>0.06</v>
      </c>
      <c r="N12" s="3">
        <v>12</v>
      </c>
      <c r="O12" s="3">
        <f t="shared" si="2"/>
        <v>1.8485080077278404</v>
      </c>
      <c r="P12" s="3">
        <f t="shared" si="3"/>
        <v>501.42310402564937</v>
      </c>
      <c r="Q12" s="3">
        <v>0.97499999999999998</v>
      </c>
      <c r="R12" s="3">
        <v>1.959964</v>
      </c>
      <c r="S12" s="3">
        <f t="shared" si="4"/>
        <v>2003.665203202454</v>
      </c>
      <c r="T12" s="3">
        <f t="shared" si="5"/>
        <v>1993.2638100322292</v>
      </c>
      <c r="U12" s="3">
        <f t="shared" si="6"/>
        <v>1994</v>
      </c>
      <c r="V12" s="3">
        <f t="shared" si="0"/>
        <v>705</v>
      </c>
      <c r="W12" s="3">
        <f t="shared" si="7"/>
        <v>882</v>
      </c>
      <c r="X12" s="3">
        <f t="shared" si="1"/>
        <v>74</v>
      </c>
    </row>
    <row r="13" spans="1:24" x14ac:dyDescent="0.25">
      <c r="A13" t="s">
        <v>34</v>
      </c>
      <c r="B13">
        <v>18.332295134660399</v>
      </c>
      <c r="C13">
        <v>0.77269337391989601</v>
      </c>
      <c r="D13">
        <v>20.3371231938285</v>
      </c>
      <c r="E13">
        <v>2.30860219490576</v>
      </c>
      <c r="F13">
        <v>393264</v>
      </c>
      <c r="G13" t="s">
        <v>35</v>
      </c>
      <c r="H13">
        <v>2.75533807829181</v>
      </c>
      <c r="I13">
        <v>8.2612624429093506E-2</v>
      </c>
      <c r="J13">
        <v>4.0812121727915603E-2</v>
      </c>
      <c r="K13">
        <v>0.95</v>
      </c>
      <c r="L13">
        <v>0.2</v>
      </c>
      <c r="M13" s="3">
        <v>0.06</v>
      </c>
      <c r="N13" s="3">
        <v>12</v>
      </c>
      <c r="O13" s="3">
        <f t="shared" si="2"/>
        <v>2.3086021949057614</v>
      </c>
      <c r="P13" s="3">
        <f t="shared" si="3"/>
        <v>954.83458913839468</v>
      </c>
      <c r="Q13" s="3">
        <v>0.97499999999999998</v>
      </c>
      <c r="R13" s="3">
        <v>1.959964</v>
      </c>
      <c r="S13" s="3">
        <f t="shared" si="4"/>
        <v>3031.7134492615892</v>
      </c>
      <c r="T13" s="3">
        <f t="shared" si="5"/>
        <v>3008.520449371596</v>
      </c>
      <c r="U13" s="3">
        <f t="shared" si="6"/>
        <v>3009</v>
      </c>
      <c r="V13" s="3">
        <f t="shared" si="0"/>
        <v>1093</v>
      </c>
      <c r="W13" s="3">
        <f t="shared" si="7"/>
        <v>1367</v>
      </c>
      <c r="X13" s="3">
        <f t="shared" si="1"/>
        <v>114</v>
      </c>
    </row>
    <row r="14" spans="1:24" x14ac:dyDescent="0.25">
      <c r="A14" t="s">
        <v>36</v>
      </c>
      <c r="B14">
        <v>17.3775516352501</v>
      </c>
      <c r="C14">
        <v>0.69097549982537398</v>
      </c>
      <c r="D14">
        <v>19.807407359231199</v>
      </c>
      <c r="E14">
        <v>1.8327907788506801</v>
      </c>
      <c r="F14">
        <v>700733</v>
      </c>
      <c r="G14" t="s">
        <v>37</v>
      </c>
      <c r="H14">
        <v>2.69292748433304</v>
      </c>
      <c r="I14">
        <v>7.7934568003845406E-2</v>
      </c>
      <c r="J14">
        <v>2.6593879183973601E-2</v>
      </c>
      <c r="K14">
        <v>0.95</v>
      </c>
      <c r="L14">
        <v>0.2</v>
      </c>
      <c r="M14" s="3">
        <v>0.06</v>
      </c>
      <c r="N14" s="3">
        <v>12</v>
      </c>
      <c r="O14" s="3">
        <f t="shared" si="2"/>
        <v>1.8327907788506843</v>
      </c>
      <c r="P14" s="3">
        <f t="shared" si="3"/>
        <v>719.06501263586949</v>
      </c>
      <c r="Q14" s="3">
        <v>0.97499999999999998</v>
      </c>
      <c r="R14" s="3">
        <v>1.959964</v>
      </c>
      <c r="S14" s="3">
        <f t="shared" si="4"/>
        <v>2540.8830187424373</v>
      </c>
      <c r="T14" s="3">
        <f t="shared" si="5"/>
        <v>2531.7029728587177</v>
      </c>
      <c r="U14" s="3">
        <f t="shared" si="6"/>
        <v>2532</v>
      </c>
      <c r="V14" s="3">
        <f t="shared" si="0"/>
        <v>941</v>
      </c>
      <c r="W14" s="3">
        <f t="shared" si="7"/>
        <v>1177</v>
      </c>
      <c r="X14" s="3">
        <f t="shared" si="1"/>
        <v>99</v>
      </c>
    </row>
    <row r="15" spans="1:24" x14ac:dyDescent="0.25">
      <c r="A15" t="s">
        <v>38</v>
      </c>
      <c r="B15">
        <v>13.593736834425499</v>
      </c>
      <c r="C15">
        <v>0.53243272473980896</v>
      </c>
      <c r="D15">
        <v>14.499081596138501</v>
      </c>
      <c r="E15">
        <v>1.5935973371605501</v>
      </c>
      <c r="F15">
        <v>1269197</v>
      </c>
      <c r="G15" t="s">
        <v>39</v>
      </c>
      <c r="H15">
        <v>2.7800925925925899</v>
      </c>
      <c r="I15">
        <v>7.6768305374813495E-2</v>
      </c>
      <c r="J15">
        <v>1.83429220066781E-2</v>
      </c>
      <c r="K15">
        <v>0.95</v>
      </c>
      <c r="L15">
        <v>0.2</v>
      </c>
      <c r="M15" s="3">
        <v>0.06</v>
      </c>
      <c r="N15" s="3">
        <v>12</v>
      </c>
      <c r="O15" s="3">
        <f t="shared" si="2"/>
        <v>1.5935973371605545</v>
      </c>
      <c r="P15" s="3">
        <f t="shared" si="3"/>
        <v>335.01139806965472</v>
      </c>
      <c r="Q15" s="3">
        <v>0.97499999999999998</v>
      </c>
      <c r="R15" s="3">
        <v>1.959964</v>
      </c>
      <c r="S15" s="3">
        <f t="shared" si="4"/>
        <v>1934.5303846466174</v>
      </c>
      <c r="T15" s="3">
        <f t="shared" si="5"/>
        <v>1931.5862299941177</v>
      </c>
      <c r="U15" s="3">
        <f t="shared" si="6"/>
        <v>1932</v>
      </c>
      <c r="V15" s="3">
        <f t="shared" si="0"/>
        <v>695</v>
      </c>
      <c r="W15" s="3">
        <f t="shared" si="7"/>
        <v>869</v>
      </c>
      <c r="X15" s="3">
        <f t="shared" si="1"/>
        <v>73</v>
      </c>
    </row>
    <row r="16" spans="1:24" x14ac:dyDescent="0.25">
      <c r="A16" t="s">
        <v>40</v>
      </c>
      <c r="B16">
        <v>18.0986607581168</v>
      </c>
      <c r="C16">
        <v>0.83848594486795702</v>
      </c>
      <c r="D16">
        <v>19.032053104082799</v>
      </c>
      <c r="E16">
        <v>1.6348941651760101</v>
      </c>
      <c r="F16">
        <v>135131</v>
      </c>
      <c r="G16" t="s">
        <v>41</v>
      </c>
      <c r="H16">
        <v>2.4858569051580699</v>
      </c>
      <c r="I16">
        <v>9.0804091744973905E-2</v>
      </c>
      <c r="J16">
        <v>2.2021780647012299E-2</v>
      </c>
      <c r="K16">
        <v>0.95</v>
      </c>
      <c r="L16">
        <v>0.2</v>
      </c>
      <c r="M16" s="3">
        <v>0.06</v>
      </c>
      <c r="N16" s="3">
        <v>12</v>
      </c>
      <c r="O16" s="3">
        <f t="shared" si="2"/>
        <v>1.6348941651760103</v>
      </c>
      <c r="P16" s="3">
        <f t="shared" si="3"/>
        <v>592.18980376917511</v>
      </c>
      <c r="Q16" s="3">
        <v>0.97499999999999998</v>
      </c>
      <c r="R16" s="3">
        <v>1.959964</v>
      </c>
      <c r="S16" s="3">
        <f t="shared" si="4"/>
        <v>1929.1310636077615</v>
      </c>
      <c r="T16" s="3">
        <f t="shared" si="5"/>
        <v>1901.978407093452</v>
      </c>
      <c r="U16" s="3">
        <f t="shared" si="6"/>
        <v>1902</v>
      </c>
      <c r="V16" s="3">
        <f t="shared" si="0"/>
        <v>766</v>
      </c>
      <c r="W16" s="3">
        <f t="shared" si="7"/>
        <v>958</v>
      </c>
      <c r="X16" s="3">
        <f t="shared" si="1"/>
        <v>80</v>
      </c>
    </row>
    <row r="17" spans="1:24" x14ac:dyDescent="0.25">
      <c r="A17" t="s">
        <v>42</v>
      </c>
      <c r="B17">
        <v>15.4895250886452</v>
      </c>
      <c r="C17">
        <v>0.76860021715529203</v>
      </c>
      <c r="D17">
        <v>15.087195328122</v>
      </c>
      <c r="E17">
        <v>1.2510450345139801</v>
      </c>
      <c r="F17">
        <v>97910</v>
      </c>
      <c r="G17" t="s">
        <v>43</v>
      </c>
      <c r="H17">
        <v>2.7478005865102602</v>
      </c>
      <c r="I17">
        <v>9.72564631260837E-2</v>
      </c>
      <c r="J17">
        <v>7.8516331990521708E-3</v>
      </c>
      <c r="K17">
        <v>0.95</v>
      </c>
      <c r="L17">
        <v>0.2</v>
      </c>
      <c r="M17" s="3">
        <v>0.06</v>
      </c>
      <c r="N17" s="3">
        <v>12</v>
      </c>
      <c r="O17" s="3">
        <f t="shared" si="2"/>
        <v>1.2510450345139756</v>
      </c>
      <c r="P17" s="3">
        <f t="shared" si="3"/>
        <v>284.76720296102252</v>
      </c>
      <c r="Q17" s="3">
        <v>0.97499999999999998</v>
      </c>
      <c r="R17" s="3">
        <v>1.959964</v>
      </c>
      <c r="S17" s="3">
        <f t="shared" si="4"/>
        <v>1266.5065868598622</v>
      </c>
      <c r="T17" s="3">
        <f t="shared" si="5"/>
        <v>1250.3330091673008</v>
      </c>
      <c r="U17" s="3">
        <f t="shared" si="6"/>
        <v>1251</v>
      </c>
      <c r="V17" s="3">
        <f t="shared" si="0"/>
        <v>456</v>
      </c>
      <c r="W17" s="3">
        <f t="shared" si="7"/>
        <v>570</v>
      </c>
      <c r="X17" s="3">
        <f t="shared" si="1"/>
        <v>48</v>
      </c>
    </row>
    <row r="18" spans="1:24" x14ac:dyDescent="0.25">
      <c r="A18" t="s">
        <v>44</v>
      </c>
      <c r="B18">
        <v>20.683524715370002</v>
      </c>
      <c r="C18">
        <v>0.76197890844156901</v>
      </c>
      <c r="D18">
        <v>20.623011215899002</v>
      </c>
      <c r="E18">
        <v>1.6029996130317801</v>
      </c>
      <c r="F18">
        <v>81925</v>
      </c>
      <c r="G18" t="s">
        <v>45</v>
      </c>
      <c r="H18">
        <v>2.6597796143250698</v>
      </c>
      <c r="I18">
        <v>7.2206197014170595E-2</v>
      </c>
      <c r="J18">
        <v>1.9503596144572598E-2</v>
      </c>
      <c r="K18">
        <v>0.95</v>
      </c>
      <c r="L18">
        <v>0.2</v>
      </c>
      <c r="M18" s="3">
        <v>0.06</v>
      </c>
      <c r="N18" s="3">
        <v>12</v>
      </c>
      <c r="O18" s="3">
        <f t="shared" si="2"/>
        <v>1.6029996130317863</v>
      </c>
      <c r="P18" s="3">
        <f t="shared" si="3"/>
        <v>681.76950777167826</v>
      </c>
      <c r="Q18" s="3">
        <v>0.97499999999999998</v>
      </c>
      <c r="R18" s="3">
        <v>1.959964</v>
      </c>
      <c r="S18" s="3">
        <f t="shared" si="4"/>
        <v>1700.5216378185048</v>
      </c>
      <c r="T18" s="3">
        <f t="shared" si="5"/>
        <v>1665.9415983275326</v>
      </c>
      <c r="U18" s="3">
        <f t="shared" si="6"/>
        <v>1666</v>
      </c>
      <c r="V18" s="3">
        <f t="shared" si="0"/>
        <v>627</v>
      </c>
      <c r="W18" s="3">
        <f t="shared" si="7"/>
        <v>784</v>
      </c>
      <c r="X18" s="3">
        <f t="shared" si="1"/>
        <v>66</v>
      </c>
    </row>
    <row r="19" spans="1:24" x14ac:dyDescent="0.25">
      <c r="A19" t="s">
        <v>46</v>
      </c>
      <c r="B19">
        <v>19.665680500895</v>
      </c>
      <c r="C19">
        <v>0.54010548466199404</v>
      </c>
      <c r="D19">
        <v>19.7359826985364</v>
      </c>
      <c r="E19">
        <v>1.7963873966203701</v>
      </c>
      <c r="F19">
        <v>2569809</v>
      </c>
      <c r="G19" t="s">
        <v>47</v>
      </c>
      <c r="H19">
        <v>2.6022610483042099</v>
      </c>
      <c r="I19">
        <v>5.3830161122028403E-2</v>
      </c>
      <c r="J19">
        <v>2.6346772871089701E-2</v>
      </c>
      <c r="K19">
        <v>0.95</v>
      </c>
      <c r="L19">
        <v>0.2</v>
      </c>
      <c r="M19" s="3">
        <v>0.06</v>
      </c>
      <c r="N19" s="3">
        <v>12</v>
      </c>
      <c r="O19" s="3">
        <f t="shared" si="2"/>
        <v>1.7963873966203678</v>
      </c>
      <c r="P19" s="3">
        <f t="shared" si="3"/>
        <v>699.70908196143262</v>
      </c>
      <c r="Q19" s="3">
        <v>0.97499999999999998</v>
      </c>
      <c r="R19" s="3">
        <v>1.959964</v>
      </c>
      <c r="S19" s="3">
        <f t="shared" si="4"/>
        <v>1930.604174162559</v>
      </c>
      <c r="T19" s="3">
        <f t="shared" si="5"/>
        <v>1929.154870169556</v>
      </c>
      <c r="U19" s="3">
        <f t="shared" si="6"/>
        <v>1930</v>
      </c>
      <c r="V19" s="3">
        <f t="shared" si="0"/>
        <v>742</v>
      </c>
      <c r="W19" s="3">
        <f t="shared" si="7"/>
        <v>928</v>
      </c>
      <c r="X19" s="3">
        <f t="shared" si="1"/>
        <v>78</v>
      </c>
    </row>
    <row r="20" spans="1:24" x14ac:dyDescent="0.25">
      <c r="A20" t="s">
        <v>48</v>
      </c>
      <c r="B20">
        <v>22.8870663503439</v>
      </c>
      <c r="C20">
        <v>0.70650983600212502</v>
      </c>
      <c r="D20">
        <v>21.526978869069499</v>
      </c>
      <c r="E20">
        <v>2.2761249371738201</v>
      </c>
      <c r="F20">
        <v>460204</v>
      </c>
      <c r="G20" t="s">
        <v>49</v>
      </c>
      <c r="H20">
        <v>2.6680497925311202</v>
      </c>
      <c r="I20">
        <v>6.0504009442143299E-2</v>
      </c>
      <c r="J20">
        <v>4.1143292288814803E-2</v>
      </c>
      <c r="K20">
        <v>0.95</v>
      </c>
      <c r="L20">
        <v>0.2</v>
      </c>
      <c r="M20" s="3">
        <v>0.06</v>
      </c>
      <c r="N20" s="3">
        <v>12</v>
      </c>
      <c r="O20" s="3">
        <f t="shared" si="2"/>
        <v>2.2761249371738201</v>
      </c>
      <c r="P20" s="3">
        <f t="shared" si="3"/>
        <v>1054.7809218041064</v>
      </c>
      <c r="Q20" s="3">
        <v>0.97499999999999998</v>
      </c>
      <c r="R20" s="3">
        <v>1.959964</v>
      </c>
      <c r="S20" s="3">
        <f t="shared" si="4"/>
        <v>2148.699569300411</v>
      </c>
      <c r="T20" s="3">
        <f t="shared" si="5"/>
        <v>2138.7138812241596</v>
      </c>
      <c r="U20" s="3">
        <f t="shared" si="6"/>
        <v>2139</v>
      </c>
      <c r="V20" s="3">
        <f t="shared" si="0"/>
        <v>802</v>
      </c>
      <c r="W20" s="3">
        <f t="shared" si="7"/>
        <v>1003</v>
      </c>
      <c r="X20" s="3">
        <f t="shared" si="1"/>
        <v>84</v>
      </c>
    </row>
    <row r="21" spans="1:24" x14ac:dyDescent="0.25">
      <c r="A21" t="s">
        <v>50</v>
      </c>
      <c r="B21">
        <v>16.316747191425399</v>
      </c>
      <c r="C21">
        <v>0.60236472094348903</v>
      </c>
      <c r="D21">
        <v>18.149157607661099</v>
      </c>
      <c r="E21">
        <v>1.62194932151177</v>
      </c>
      <c r="F21">
        <v>84633</v>
      </c>
      <c r="G21" t="s">
        <v>51</v>
      </c>
      <c r="H21">
        <v>2.8129649309245499</v>
      </c>
      <c r="I21">
        <v>7.2357243707843702E-2</v>
      </c>
      <c r="J21">
        <v>1.89875843215318E-2</v>
      </c>
      <c r="K21">
        <v>0.95</v>
      </c>
      <c r="L21">
        <v>0.2</v>
      </c>
      <c r="M21" s="3">
        <v>0.06</v>
      </c>
      <c r="N21" s="3">
        <v>12</v>
      </c>
      <c r="O21" s="3">
        <f t="shared" si="2"/>
        <v>1.6219493215117693</v>
      </c>
      <c r="P21" s="3">
        <f t="shared" si="3"/>
        <v>534.25700418481085</v>
      </c>
      <c r="Q21" s="3">
        <v>0.97499999999999998</v>
      </c>
      <c r="R21" s="3">
        <v>1.959964</v>
      </c>
      <c r="S21" s="3">
        <f t="shared" si="4"/>
        <v>2141.296184954791</v>
      </c>
      <c r="T21" s="3">
        <f t="shared" si="5"/>
        <v>2088.4562363376458</v>
      </c>
      <c r="U21" s="3">
        <f t="shared" si="6"/>
        <v>2089</v>
      </c>
      <c r="V21" s="3">
        <f t="shared" si="0"/>
        <v>743</v>
      </c>
      <c r="W21" s="3">
        <f t="shared" si="7"/>
        <v>929</v>
      </c>
      <c r="X21" s="3">
        <f t="shared" si="1"/>
        <v>78</v>
      </c>
    </row>
    <row r="22" spans="1:24" x14ac:dyDescent="0.25">
      <c r="A22" t="s">
        <v>52</v>
      </c>
      <c r="B22">
        <v>14.7270040303458</v>
      </c>
      <c r="C22">
        <v>0.76982589868962603</v>
      </c>
      <c r="D22">
        <v>17.243719183720401</v>
      </c>
      <c r="E22">
        <v>2.1374609382730401</v>
      </c>
      <c r="F22">
        <v>151407</v>
      </c>
      <c r="G22" t="s">
        <v>53</v>
      </c>
      <c r="H22">
        <v>2.57037037037037</v>
      </c>
      <c r="I22">
        <v>0.10245524197064</v>
      </c>
      <c r="J22">
        <v>3.8112987507287199E-2</v>
      </c>
      <c r="K22">
        <v>0.95</v>
      </c>
      <c r="L22">
        <v>0.2</v>
      </c>
      <c r="M22" s="3">
        <v>0.06</v>
      </c>
      <c r="N22" s="3">
        <v>12</v>
      </c>
      <c r="O22" s="3">
        <f t="shared" si="2"/>
        <v>2.1374609382730378</v>
      </c>
      <c r="P22" s="3">
        <f t="shared" si="3"/>
        <v>635.56514228352171</v>
      </c>
      <c r="Q22" s="3">
        <v>0.97499999999999998</v>
      </c>
      <c r="R22" s="3">
        <v>1.959964</v>
      </c>
      <c r="S22" s="3">
        <f t="shared" si="4"/>
        <v>3126.9788728811659</v>
      </c>
      <c r="T22" s="3">
        <f t="shared" si="5"/>
        <v>3063.7047829835096</v>
      </c>
      <c r="U22" s="3">
        <f t="shared" si="6"/>
        <v>3064</v>
      </c>
      <c r="V22" s="3">
        <f t="shared" si="0"/>
        <v>1193</v>
      </c>
      <c r="W22" s="3">
        <f t="shared" si="7"/>
        <v>1492</v>
      </c>
      <c r="X22" s="3">
        <f t="shared" si="1"/>
        <v>125</v>
      </c>
    </row>
    <row r="23" spans="1:24" x14ac:dyDescent="0.25">
      <c r="A23" t="s">
        <v>54</v>
      </c>
      <c r="B23">
        <v>14.1485915780619</v>
      </c>
      <c r="C23">
        <v>0.85052124203085699</v>
      </c>
      <c r="D23">
        <v>16.560277342086501</v>
      </c>
      <c r="E23">
        <v>1.2438631332957</v>
      </c>
      <c r="F23">
        <v>133421</v>
      </c>
      <c r="G23" t="s">
        <v>55</v>
      </c>
      <c r="H23">
        <v>2.8199356913183302</v>
      </c>
      <c r="I23">
        <v>0.11782244368162299</v>
      </c>
      <c r="J23">
        <v>7.4259702785630004E-3</v>
      </c>
      <c r="K23">
        <v>0.95</v>
      </c>
      <c r="L23">
        <v>0.2</v>
      </c>
      <c r="M23" s="3">
        <v>0.06</v>
      </c>
      <c r="N23" s="3">
        <v>12</v>
      </c>
      <c r="O23" s="3">
        <f t="shared" si="2"/>
        <v>1.2438631332957042</v>
      </c>
      <c r="P23" s="3">
        <f t="shared" si="3"/>
        <v>341.12049063839891</v>
      </c>
      <c r="Q23" s="3">
        <v>0.97499999999999998</v>
      </c>
      <c r="R23" s="3">
        <v>1.959964</v>
      </c>
      <c r="S23" s="3">
        <f t="shared" si="4"/>
        <v>1818.3399287951415</v>
      </c>
      <c r="T23" s="3">
        <f t="shared" si="5"/>
        <v>1793.8917164747356</v>
      </c>
      <c r="U23" s="3">
        <f t="shared" si="6"/>
        <v>1794</v>
      </c>
      <c r="V23" s="3">
        <f t="shared" si="0"/>
        <v>637</v>
      </c>
      <c r="W23" s="3">
        <f t="shared" si="7"/>
        <v>797</v>
      </c>
      <c r="X23" s="3">
        <f t="shared" si="1"/>
        <v>67</v>
      </c>
    </row>
    <row r="24" spans="1:24" x14ac:dyDescent="0.25">
      <c r="A24" t="s">
        <v>56</v>
      </c>
      <c r="B24">
        <v>13.6780775985939</v>
      </c>
      <c r="C24">
        <v>0.38588078075777899</v>
      </c>
      <c r="D24">
        <v>14.826141703650899</v>
      </c>
      <c r="E24">
        <v>1.0267108461688801</v>
      </c>
      <c r="F24">
        <v>386283</v>
      </c>
      <c r="G24" t="s">
        <v>57</v>
      </c>
      <c r="H24">
        <v>2.56830122591944</v>
      </c>
      <c r="I24">
        <v>5.5294782825548401E-2</v>
      </c>
      <c r="J24">
        <v>8.9574752818647103E-4</v>
      </c>
      <c r="K24">
        <v>0.95</v>
      </c>
      <c r="L24">
        <v>0.2</v>
      </c>
      <c r="M24" s="3">
        <v>0.06</v>
      </c>
      <c r="N24" s="3">
        <v>12</v>
      </c>
      <c r="O24" s="3">
        <f t="shared" si="2"/>
        <v>1.026710846168881</v>
      </c>
      <c r="P24" s="3">
        <f t="shared" si="3"/>
        <v>225.68590851939192</v>
      </c>
      <c r="Q24" s="3">
        <v>0.97499999999999998</v>
      </c>
      <c r="R24" s="3">
        <v>1.959964</v>
      </c>
      <c r="S24" s="3">
        <f t="shared" si="4"/>
        <v>1287.2058500874518</v>
      </c>
      <c r="T24" s="3">
        <f t="shared" si="5"/>
        <v>1282.9307565031418</v>
      </c>
      <c r="U24" s="3">
        <f t="shared" si="6"/>
        <v>1283</v>
      </c>
      <c r="V24" s="3">
        <f t="shared" si="0"/>
        <v>500</v>
      </c>
      <c r="W24" s="3">
        <f t="shared" si="7"/>
        <v>625</v>
      </c>
      <c r="X24" s="3">
        <f t="shared" si="1"/>
        <v>53</v>
      </c>
    </row>
    <row r="25" spans="1:24" x14ac:dyDescent="0.25">
      <c r="A25" t="s">
        <v>58</v>
      </c>
      <c r="B25">
        <v>14.449233905019399</v>
      </c>
      <c r="C25">
        <v>0.68014608948127397</v>
      </c>
      <c r="D25">
        <v>16.743364506634801</v>
      </c>
      <c r="E25">
        <v>1.3034754198777501</v>
      </c>
      <c r="F25">
        <v>298639</v>
      </c>
      <c r="G25" t="s">
        <v>59</v>
      </c>
      <c r="H25">
        <v>2.8164665523156098</v>
      </c>
      <c r="I25">
        <v>9.2260001059308899E-2</v>
      </c>
      <c r="J25">
        <v>9.2529768207064902E-3</v>
      </c>
      <c r="K25">
        <v>0.95</v>
      </c>
      <c r="L25">
        <v>0.2</v>
      </c>
      <c r="M25" s="3">
        <v>0.06</v>
      </c>
      <c r="N25" s="3">
        <v>12</v>
      </c>
      <c r="O25" s="3">
        <f t="shared" si="2"/>
        <v>1.303475419877751</v>
      </c>
      <c r="P25" s="3">
        <f t="shared" si="3"/>
        <v>365.41663159741705</v>
      </c>
      <c r="Q25" s="3">
        <v>0.97499999999999998</v>
      </c>
      <c r="R25" s="3">
        <v>1.959964</v>
      </c>
      <c r="S25" s="3">
        <f t="shared" si="4"/>
        <v>1867.6365091839389</v>
      </c>
      <c r="T25" s="3">
        <f t="shared" si="5"/>
        <v>1856.0292243300814</v>
      </c>
      <c r="U25" s="3">
        <f t="shared" si="6"/>
        <v>1857</v>
      </c>
      <c r="V25" s="3">
        <f t="shared" si="0"/>
        <v>660</v>
      </c>
      <c r="W25" s="3">
        <f t="shared" si="7"/>
        <v>825</v>
      </c>
      <c r="X25" s="3">
        <f t="shared" si="1"/>
        <v>69</v>
      </c>
    </row>
    <row r="26" spans="1:24" x14ac:dyDescent="0.25">
      <c r="A26" t="s">
        <v>60</v>
      </c>
      <c r="B26">
        <v>18.993506151162599</v>
      </c>
      <c r="C26">
        <v>1.13572511822489</v>
      </c>
      <c r="D26">
        <v>18.307301564903899</v>
      </c>
      <c r="E26">
        <v>1.94898926332406</v>
      </c>
      <c r="F26">
        <v>2237351</v>
      </c>
      <c r="G26" t="s">
        <v>61</v>
      </c>
      <c r="H26">
        <v>2.4881141045958799</v>
      </c>
      <c r="I26">
        <v>0.11719906867140099</v>
      </c>
      <c r="J26">
        <v>3.2885508548381702E-2</v>
      </c>
      <c r="K26">
        <v>0.95</v>
      </c>
      <c r="L26">
        <v>0.2</v>
      </c>
      <c r="M26" s="3">
        <v>0.06</v>
      </c>
      <c r="N26" s="3">
        <v>12</v>
      </c>
      <c r="O26" s="3">
        <f t="shared" si="2"/>
        <v>1.9489892633240609</v>
      </c>
      <c r="P26" s="3">
        <f t="shared" si="3"/>
        <v>653.21796088144254</v>
      </c>
      <c r="Q26" s="3">
        <v>0.97499999999999998</v>
      </c>
      <c r="R26" s="3">
        <v>1.959964</v>
      </c>
      <c r="S26" s="3">
        <f t="shared" si="4"/>
        <v>1932.1530382740075</v>
      </c>
      <c r="T26" s="3">
        <f t="shared" si="5"/>
        <v>1930.4858907503697</v>
      </c>
      <c r="U26" s="3">
        <f t="shared" si="6"/>
        <v>1931</v>
      </c>
      <c r="V26" s="3">
        <f t="shared" si="0"/>
        <v>777</v>
      </c>
      <c r="W26" s="3">
        <f t="shared" si="7"/>
        <v>972</v>
      </c>
      <c r="X26" s="3">
        <f t="shared" si="1"/>
        <v>81</v>
      </c>
    </row>
    <row r="27" spans="1:24" x14ac:dyDescent="0.25">
      <c r="A27" t="s">
        <v>62</v>
      </c>
      <c r="B27">
        <v>16.960968287651799</v>
      </c>
      <c r="C27">
        <v>0.98690645700885804</v>
      </c>
      <c r="D27">
        <v>18.5433831942856</v>
      </c>
      <c r="E27">
        <v>1.98750378939124</v>
      </c>
      <c r="F27">
        <v>2203432</v>
      </c>
      <c r="G27" t="s">
        <v>63</v>
      </c>
      <c r="H27">
        <v>2.6702786377708998</v>
      </c>
      <c r="I27">
        <v>0.114046357668485</v>
      </c>
      <c r="J27">
        <v>3.1810484090293398E-2</v>
      </c>
      <c r="K27">
        <v>0.95</v>
      </c>
      <c r="L27">
        <v>0.2</v>
      </c>
      <c r="M27" s="3">
        <v>0.06</v>
      </c>
      <c r="N27" s="3">
        <v>12</v>
      </c>
      <c r="O27" s="3">
        <f t="shared" si="2"/>
        <v>1.9875037893912451</v>
      </c>
      <c r="P27" s="3">
        <f t="shared" si="3"/>
        <v>683.4172103355329</v>
      </c>
      <c r="Q27" s="3">
        <v>0.97499999999999998</v>
      </c>
      <c r="R27" s="3">
        <v>1.959964</v>
      </c>
      <c r="S27" s="3">
        <f t="shared" si="4"/>
        <v>2535.0020517785324</v>
      </c>
      <c r="T27" s="3">
        <f t="shared" si="5"/>
        <v>2532.0889368513622</v>
      </c>
      <c r="U27" s="3">
        <f t="shared" si="6"/>
        <v>2533</v>
      </c>
      <c r="V27" s="3">
        <f t="shared" si="0"/>
        <v>949</v>
      </c>
      <c r="W27" s="3">
        <f t="shared" si="7"/>
        <v>1187</v>
      </c>
      <c r="X27" s="3">
        <f t="shared" si="1"/>
        <v>99</v>
      </c>
    </row>
    <row r="28" spans="1:24" hidden="1" x14ac:dyDescent="0.25">
      <c r="A28" t="s">
        <v>64</v>
      </c>
      <c r="B28">
        <v>12.400490196078399</v>
      </c>
      <c r="C28">
        <v>1.0579735541706199</v>
      </c>
      <c r="D28">
        <v>14.181656984275699</v>
      </c>
      <c r="E28">
        <v>0.766823711854552</v>
      </c>
      <c r="I28">
        <v>0.16722146732797499</v>
      </c>
      <c r="K28">
        <v>0.95</v>
      </c>
      <c r="L28">
        <v>0.2</v>
      </c>
      <c r="M28">
        <v>0.06</v>
      </c>
      <c r="N28">
        <v>12</v>
      </c>
      <c r="O28">
        <f t="shared" si="2"/>
        <v>1</v>
      </c>
      <c r="P28">
        <f t="shared" si="3"/>
        <v>154.22312086154955</v>
      </c>
      <c r="Q28">
        <v>0.97499999999999998</v>
      </c>
      <c r="R28">
        <v>1.959964</v>
      </c>
      <c r="S28">
        <f t="shared" si="4"/>
        <v>1070.2012865729919</v>
      </c>
      <c r="T28" t="e">
        <f t="shared" si="5"/>
        <v>#DIV/0!</v>
      </c>
      <c r="U28" t="e">
        <f t="shared" si="6"/>
        <v>#DIV/0!</v>
      </c>
      <c r="V28" t="e">
        <f t="shared" si="0"/>
        <v>#DIV/0!</v>
      </c>
      <c r="W28" t="e">
        <f t="shared" si="7"/>
        <v>#DIV/0!</v>
      </c>
      <c r="X28" t="e">
        <f t="shared" si="1"/>
        <v>#DIV/0!</v>
      </c>
    </row>
  </sheetData>
  <autoFilter ref="A1:X28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2025-05-16T11:26:00Z</dcterms:created>
  <dcterms:modified xsi:type="dcterms:W3CDTF">2025-05-16T17:11:29Z</dcterms:modified>
</cp:coreProperties>
</file>